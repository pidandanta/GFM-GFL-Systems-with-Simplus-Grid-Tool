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E16" sqref="E16"/>
    </sheetView>
  </sheetViews>
  <sheetFormatPr baseColWidth="8" defaultRowHeight="13.9"/>
  <cols>
    <col width="11.1328125" customWidth="1" min="4" max="4"/>
    <col width="10.8632812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6" t="n">
        <v>1</v>
      </c>
      <c r="B3" t="n">
        <v>1</v>
      </c>
      <c r="C3" t="n">
        <v>1.06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</row>
    <row r="4">
      <c r="A4" s="6" t="n">
        <v>2</v>
      </c>
      <c r="B4" t="n">
        <v>2</v>
      </c>
      <c r="C4" t="n">
        <v>1.045</v>
      </c>
      <c r="D4" t="n">
        <v>0</v>
      </c>
      <c r="E4">
        <f>40/100</f>
        <v/>
      </c>
      <c r="F4">
        <f>42.4/100</f>
        <v/>
      </c>
      <c r="G4">
        <f>21.7/100</f>
        <v/>
      </c>
      <c r="H4">
        <f>12.7/100</f>
        <v/>
      </c>
      <c r="I4">
        <f>-40/100</f>
        <v/>
      </c>
      <c r="J4">
        <f>50/100</f>
        <v/>
      </c>
      <c r="K4" t="n">
        <v>1</v>
      </c>
      <c r="L4" t="n">
        <v>1</v>
      </c>
    </row>
    <row r="5">
      <c r="A5" s="6" t="n">
        <v>3</v>
      </c>
      <c r="B5" t="n">
        <v>2</v>
      </c>
      <c r="C5" t="n">
        <v>1.01</v>
      </c>
      <c r="D5" t="n">
        <v>0</v>
      </c>
      <c r="E5" t="n">
        <v>0</v>
      </c>
      <c r="F5">
        <f>23.4/100</f>
        <v/>
      </c>
      <c r="G5">
        <f>94.2/100</f>
        <v/>
      </c>
      <c r="H5">
        <f>19/100</f>
        <v/>
      </c>
      <c r="I5" t="n">
        <v>0</v>
      </c>
      <c r="J5">
        <f>40/100</f>
        <v/>
      </c>
      <c r="K5" t="n">
        <v>1</v>
      </c>
      <c r="L5" t="n">
        <v>1</v>
      </c>
    </row>
    <row r="6">
      <c r="A6" s="7" t="n">
        <v>4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>
        <f>47.8/100</f>
        <v/>
      </c>
      <c r="H6">
        <f>-3.9/100</f>
        <v/>
      </c>
      <c r="I6" t="n">
        <v>0</v>
      </c>
      <c r="J6" t="n">
        <v>0</v>
      </c>
      <c r="K6" t="n">
        <v>1</v>
      </c>
      <c r="L6" t="n">
        <v>1</v>
      </c>
    </row>
    <row r="7">
      <c r="A7" s="7" t="n">
        <v>5</v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>
        <f>7.6/100</f>
        <v/>
      </c>
      <c r="H7">
        <f>1.6/100</f>
        <v/>
      </c>
      <c r="I7" t="n">
        <v>0</v>
      </c>
      <c r="J7" t="n">
        <v>0</v>
      </c>
      <c r="K7" t="n">
        <v>1</v>
      </c>
      <c r="L7" t="n">
        <v>1</v>
      </c>
    </row>
    <row r="8">
      <c r="A8" s="6" t="n">
        <v>6</v>
      </c>
      <c r="B8" t="n">
        <v>2</v>
      </c>
      <c r="C8" t="n">
        <v>1.07</v>
      </c>
      <c r="D8" t="n">
        <v>0</v>
      </c>
      <c r="E8" t="n">
        <v>0</v>
      </c>
      <c r="F8">
        <f>12.2/100</f>
        <v/>
      </c>
      <c r="G8">
        <f>11.2/100</f>
        <v/>
      </c>
      <c r="H8">
        <f>7.5/100</f>
        <v/>
      </c>
      <c r="I8">
        <f>-6/100</f>
        <v/>
      </c>
      <c r="J8">
        <f>24/100</f>
        <v/>
      </c>
      <c r="K8" t="n">
        <v>1</v>
      </c>
      <c r="L8" t="n">
        <v>1</v>
      </c>
    </row>
    <row r="9">
      <c r="A9" s="7" t="n">
        <v>7</v>
      </c>
      <c r="B9" t="n">
        <v>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</row>
    <row r="10">
      <c r="A10" s="6" t="n">
        <v>8</v>
      </c>
      <c r="B10" t="n">
        <v>2</v>
      </c>
      <c r="C10" t="n">
        <v>1.09</v>
      </c>
      <c r="D10" t="n">
        <v>0</v>
      </c>
      <c r="E10" t="n">
        <v>0</v>
      </c>
      <c r="F10">
        <f>17.4/100</f>
        <v/>
      </c>
      <c r="G10" t="n">
        <v>0</v>
      </c>
      <c r="H10" t="n">
        <v>0</v>
      </c>
      <c r="I10">
        <f>-6/100</f>
        <v/>
      </c>
      <c r="J10">
        <f>24/100</f>
        <v/>
      </c>
      <c r="K10" t="n">
        <v>1</v>
      </c>
      <c r="L10" t="n">
        <v>1</v>
      </c>
    </row>
    <row r="11">
      <c r="A11" s="7" t="n">
        <v>9</v>
      </c>
      <c r="B11" t="n">
        <v>3</v>
      </c>
      <c r="C11" t="n">
        <v>1</v>
      </c>
      <c r="D11" t="n">
        <v>0</v>
      </c>
      <c r="E11" t="n">
        <v>0</v>
      </c>
      <c r="F11" t="n">
        <v>0</v>
      </c>
      <c r="G11">
        <f>29.5/100</f>
        <v/>
      </c>
      <c r="H11">
        <f>16.6/100</f>
        <v/>
      </c>
      <c r="I11" t="n">
        <v>0</v>
      </c>
      <c r="J11" t="n">
        <v>0</v>
      </c>
      <c r="K11" t="n">
        <v>1</v>
      </c>
      <c r="L11" t="n">
        <v>1</v>
      </c>
    </row>
    <row r="12">
      <c r="A12" t="n">
        <v>10</v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>
        <f>9/100</f>
        <v/>
      </c>
      <c r="H12">
        <f>5.8/100</f>
        <v/>
      </c>
      <c r="I12" t="n">
        <v>0</v>
      </c>
      <c r="J12" t="n">
        <v>0</v>
      </c>
      <c r="K12" t="n">
        <v>1</v>
      </c>
      <c r="L12" t="n">
        <v>1</v>
      </c>
    </row>
    <row r="13">
      <c r="A13" t="n">
        <v>11</v>
      </c>
      <c r="B13" t="n">
        <v>3</v>
      </c>
      <c r="C13" t="n">
        <v>1</v>
      </c>
      <c r="D13" t="n">
        <v>0</v>
      </c>
      <c r="E13" t="n">
        <v>0</v>
      </c>
      <c r="F13" t="n">
        <v>0</v>
      </c>
      <c r="G13">
        <f>3.5/100</f>
        <v/>
      </c>
      <c r="H13">
        <f>1.8/100</f>
        <v/>
      </c>
      <c r="I13" t="n">
        <v>0</v>
      </c>
      <c r="J13" t="n">
        <v>0</v>
      </c>
      <c r="K13" t="n">
        <v>1</v>
      </c>
      <c r="L13" t="n">
        <v>1</v>
      </c>
    </row>
    <row r="14">
      <c r="A14" t="n">
        <v>12</v>
      </c>
      <c r="B14" t="n">
        <v>3</v>
      </c>
      <c r="C14" t="n">
        <v>1</v>
      </c>
      <c r="D14" t="n">
        <v>0</v>
      </c>
      <c r="E14" t="n">
        <v>0</v>
      </c>
      <c r="F14" t="n">
        <v>0</v>
      </c>
      <c r="G14">
        <f>6.1/100</f>
        <v/>
      </c>
      <c r="H14">
        <f>1.6/100</f>
        <v/>
      </c>
      <c r="I14" t="n">
        <v>0</v>
      </c>
      <c r="J14" t="n">
        <v>0</v>
      </c>
      <c r="K14" t="n">
        <v>1</v>
      </c>
      <c r="L14" t="n">
        <v>1</v>
      </c>
    </row>
    <row r="15">
      <c r="A15" t="n">
        <v>13</v>
      </c>
      <c r="B15" t="n">
        <v>3</v>
      </c>
      <c r="C15" t="n">
        <v>1</v>
      </c>
      <c r="D15" t="n">
        <v>0</v>
      </c>
      <c r="E15" t="n">
        <v>0</v>
      </c>
      <c r="F15" t="n">
        <v>0</v>
      </c>
      <c r="G15">
        <f>13.5/100</f>
        <v/>
      </c>
      <c r="H15">
        <f>5.8/100</f>
        <v/>
      </c>
      <c r="I15" t="n">
        <v>0</v>
      </c>
      <c r="J15" t="n">
        <v>0</v>
      </c>
      <c r="K15" t="n">
        <v>1</v>
      </c>
      <c r="L15" t="n">
        <v>1</v>
      </c>
    </row>
    <row r="16">
      <c r="A16" t="n">
        <v>14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>
        <f>14.9/100</f>
        <v/>
      </c>
      <c r="H16">
        <f>5/100</f>
        <v/>
      </c>
      <c r="I16" t="n">
        <v>0</v>
      </c>
      <c r="J16" t="n">
        <v>0</v>
      </c>
      <c r="K16" t="n">
        <v>1</v>
      </c>
      <c r="L16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E8" sqref="E8"/>
    </sheetView>
  </sheetViews>
  <sheetFormatPr baseColWidth="8" defaultRowHeight="13.9"/>
  <cols>
    <col width="12.86328125" customWidth="1" min="1" max="1"/>
    <col width="29.59765625" customWidth="1" min="2" max="2"/>
    <col width="14" customWidth="1" min="3" max="3"/>
    <col width="15.1328125" customWidth="1" min="4" max="4"/>
    <col width="12.3984375" customWidth="1" min="5" max="5"/>
    <col width="13.59765625" customWidth="1" min="6" max="6"/>
    <col width="13.86328125" customWidth="1" min="7" max="7"/>
    <col width="15.1328125" customWidth="1" min="8" max="8"/>
    <col width="18.86328125" customWidth="1" min="9" max="9"/>
    <col width="18.59765625" customWidth="1" min="10" max="10"/>
    <col width="17.1328125" customWidth="1" min="11" max="11"/>
    <col width="17.86328125" customWidth="1" min="12" max="12"/>
    <col width="14.39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7" t="n">
        <v>1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s="9" t="n">
        <v>0.05</v>
      </c>
      <c r="H3" s="9" t="n">
        <v>0.02</v>
      </c>
      <c r="I3" s="9" t="n">
        <v>0.005</v>
      </c>
      <c r="J3" s="10" t="n">
        <v>0</v>
      </c>
      <c r="K3" t="n">
        <v>100</v>
      </c>
      <c r="L3" t="n">
        <v>500</v>
      </c>
    </row>
    <row r="4">
      <c r="A4" s="7" t="n">
        <v>2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s="9" t="n">
        <v>0.05</v>
      </c>
      <c r="H4" s="9" t="n">
        <v>0.02</v>
      </c>
      <c r="I4" s="9" t="n">
        <v>0.005</v>
      </c>
      <c r="J4" s="10" t="n">
        <v>0</v>
      </c>
      <c r="K4" t="n">
        <v>100</v>
      </c>
      <c r="L4" t="n">
        <v>500</v>
      </c>
    </row>
    <row r="5">
      <c r="A5" s="7" t="n">
        <v>3</v>
      </c>
      <c r="B5" t="n">
        <v>20</v>
      </c>
      <c r="C5" t="n">
        <v>2</v>
      </c>
      <c r="D5" t="n">
        <v>20</v>
      </c>
      <c r="E5" t="n">
        <v>0.15</v>
      </c>
      <c r="F5" t="n">
        <v>0.02</v>
      </c>
      <c r="G5" s="9" t="n">
        <v>0.05</v>
      </c>
      <c r="H5" s="9" t="n">
        <v>0.02</v>
      </c>
      <c r="I5" s="9" t="n">
        <v>0.005</v>
      </c>
      <c r="J5" t="n">
        <v>0</v>
      </c>
      <c r="K5" t="n">
        <v>100</v>
      </c>
      <c r="L5" t="n">
        <v>500</v>
      </c>
    </row>
    <row r="6">
      <c r="A6" s="7" t="n">
        <v>6</v>
      </c>
      <c r="B6" t="n">
        <v>20</v>
      </c>
      <c r="C6" t="n">
        <v>2</v>
      </c>
      <c r="D6" t="n">
        <v>20</v>
      </c>
      <c r="E6" t="n">
        <v>0.15</v>
      </c>
      <c r="F6" t="n">
        <v>0.02</v>
      </c>
      <c r="G6" s="9" t="n">
        <v>0.05</v>
      </c>
      <c r="H6" s="9" t="n">
        <v>0.02</v>
      </c>
      <c r="I6" s="9" t="n">
        <v>0.005</v>
      </c>
      <c r="J6" t="n">
        <v>0</v>
      </c>
      <c r="K6" t="n">
        <v>100</v>
      </c>
      <c r="L6" t="n">
        <v>500</v>
      </c>
    </row>
    <row r="7">
      <c r="A7" s="7" t="n">
        <v>8</v>
      </c>
      <c r="B7" t="n">
        <v>20</v>
      </c>
      <c r="C7" t="n">
        <v>2</v>
      </c>
      <c r="D7" t="n">
        <v>20</v>
      </c>
      <c r="E7" t="n">
        <v>0.15</v>
      </c>
      <c r="F7" t="n">
        <v>0.02</v>
      </c>
      <c r="G7" s="9" t="n">
        <v>0.05</v>
      </c>
      <c r="H7" s="9" t="n">
        <v>0.02</v>
      </c>
      <c r="I7" s="9" t="n">
        <v>0.005</v>
      </c>
      <c r="J7" t="n">
        <v>0</v>
      </c>
      <c r="K7" t="n">
        <v>100</v>
      </c>
      <c r="L7" t="n">
        <v>500</v>
      </c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E28" sqref="E28"/>
    </sheetView>
  </sheetViews>
  <sheetFormatPr baseColWidth="8" defaultRowHeight="13.9"/>
  <cols>
    <col width="10.1328125" bestFit="1" customWidth="1" min="5" max="5"/>
    <col width="15.597656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1</v>
      </c>
      <c r="B6" t="n">
        <v>2</v>
      </c>
      <c r="C6" t="n">
        <v>0.01938</v>
      </c>
      <c r="D6" t="n">
        <v>0.05917</v>
      </c>
      <c r="E6">
        <f>0.0528</f>
        <v/>
      </c>
      <c r="F6" t="n">
        <v>0</v>
      </c>
      <c r="G6" t="n">
        <v>1</v>
      </c>
    </row>
    <row r="7">
      <c r="A7" t="n">
        <v>1</v>
      </c>
      <c r="B7" t="n">
        <v>5</v>
      </c>
      <c r="C7" t="n">
        <v>0.05403</v>
      </c>
      <c r="D7" t="n">
        <v>0.22304</v>
      </c>
      <c r="E7">
        <f>0.0492</f>
        <v/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0.04699</v>
      </c>
      <c r="D8" t="n">
        <v>0.19797</v>
      </c>
      <c r="E8">
        <f>0.0438</f>
        <v/>
      </c>
      <c r="F8" t="n">
        <v>0</v>
      </c>
      <c r="G8" t="n">
        <v>1</v>
      </c>
    </row>
    <row r="9">
      <c r="A9" t="n">
        <v>2</v>
      </c>
      <c r="B9" t="n">
        <v>4</v>
      </c>
      <c r="C9" t="n">
        <v>0.05811</v>
      </c>
      <c r="D9" t="n">
        <v>0.17632</v>
      </c>
      <c r="E9">
        <f>0.034</f>
        <v/>
      </c>
      <c r="F9" t="n">
        <v>0</v>
      </c>
      <c r="G9" t="n">
        <v>1</v>
      </c>
    </row>
    <row r="10">
      <c r="A10" t="n">
        <v>2</v>
      </c>
      <c r="B10" t="n">
        <v>5</v>
      </c>
      <c r="C10" t="n">
        <v>0.05695</v>
      </c>
      <c r="D10" t="n">
        <v>0.17388</v>
      </c>
      <c r="E10">
        <f>0.0346</f>
        <v/>
      </c>
      <c r="F10" t="n">
        <v>0</v>
      </c>
      <c r="G10" t="n">
        <v>1</v>
      </c>
    </row>
    <row r="11">
      <c r="A11" t="n">
        <v>3</v>
      </c>
      <c r="B11" t="n">
        <v>4</v>
      </c>
      <c r="C11" t="n">
        <v>0.06701</v>
      </c>
      <c r="D11" t="n">
        <v>0.17103</v>
      </c>
      <c r="E11">
        <f>0.0128</f>
        <v/>
      </c>
      <c r="F11" t="n">
        <v>0</v>
      </c>
      <c r="G11" t="n">
        <v>1</v>
      </c>
    </row>
    <row r="12">
      <c r="A12" t="n">
        <v>4</v>
      </c>
      <c r="B12" t="n">
        <v>5</v>
      </c>
      <c r="C12" t="n">
        <v>0.01335</v>
      </c>
      <c r="D12" t="n">
        <v>0.04211</v>
      </c>
      <c r="E12" t="n">
        <v>0</v>
      </c>
      <c r="F12" t="n">
        <v>0</v>
      </c>
      <c r="G12" t="n">
        <v>1</v>
      </c>
    </row>
    <row r="13">
      <c r="A13" t="n">
        <v>4</v>
      </c>
      <c r="B13" t="n">
        <v>7</v>
      </c>
      <c r="C13" t="n">
        <v>0</v>
      </c>
      <c r="D13" t="n">
        <v>0.20912</v>
      </c>
      <c r="E13" t="n">
        <v>0</v>
      </c>
      <c r="F13" t="n">
        <v>0</v>
      </c>
      <c r="G13" t="n">
        <v>0.978</v>
      </c>
    </row>
    <row r="14">
      <c r="A14" t="n">
        <v>4</v>
      </c>
      <c r="B14" t="n">
        <v>9</v>
      </c>
      <c r="C14" t="n">
        <v>0</v>
      </c>
      <c r="D14" t="n">
        <v>0.55618</v>
      </c>
      <c r="E14" t="n">
        <v>0</v>
      </c>
      <c r="F14" t="n">
        <v>0</v>
      </c>
      <c r="G14" t="n">
        <v>0.969</v>
      </c>
    </row>
    <row r="15">
      <c r="A15" t="n">
        <v>5</v>
      </c>
      <c r="B15" t="n">
        <v>6</v>
      </c>
      <c r="C15" t="n">
        <v>0</v>
      </c>
      <c r="D15" t="n">
        <v>0.25202</v>
      </c>
      <c r="E15" t="n">
        <v>0</v>
      </c>
      <c r="F15" t="n">
        <v>0</v>
      </c>
      <c r="G15" t="n">
        <v>0.9320000000000001</v>
      </c>
    </row>
    <row r="16">
      <c r="A16" t="n">
        <v>6</v>
      </c>
      <c r="B16" t="n">
        <v>11</v>
      </c>
      <c r="C16" t="n">
        <v>0.09497999999999999</v>
      </c>
      <c r="D16" t="n">
        <v>0.1989</v>
      </c>
      <c r="E16" t="n">
        <v>0</v>
      </c>
      <c r="F16" t="n">
        <v>0</v>
      </c>
      <c r="G16" t="n">
        <v>1</v>
      </c>
    </row>
    <row r="17">
      <c r="A17" t="n">
        <v>6</v>
      </c>
      <c r="B17" t="n">
        <v>12</v>
      </c>
      <c r="C17" t="n">
        <v>0.12291</v>
      </c>
      <c r="D17" t="n">
        <v>0.25581</v>
      </c>
      <c r="E17" t="n">
        <v>0</v>
      </c>
      <c r="F17" t="n">
        <v>0</v>
      </c>
      <c r="G17" t="n">
        <v>1</v>
      </c>
    </row>
    <row r="18">
      <c r="A18" t="n">
        <v>6</v>
      </c>
      <c r="B18" t="n">
        <v>13</v>
      </c>
      <c r="C18" t="n">
        <v>0.06615</v>
      </c>
      <c r="D18" t="n">
        <v>0.13027</v>
      </c>
      <c r="E18" t="n">
        <v>0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</v>
      </c>
      <c r="D19" t="n">
        <v>0.17615</v>
      </c>
      <c r="E19" t="n">
        <v>0</v>
      </c>
      <c r="F19" t="n">
        <v>0</v>
      </c>
      <c r="G19" t="n">
        <v>1</v>
      </c>
    </row>
    <row r="20">
      <c r="A20" t="n">
        <v>7</v>
      </c>
      <c r="B20" t="n">
        <v>9</v>
      </c>
      <c r="C20" t="n">
        <v>0</v>
      </c>
      <c r="D20" t="n">
        <v>0.11001</v>
      </c>
      <c r="E20" t="n">
        <v>0</v>
      </c>
      <c r="F20" t="n">
        <v>0</v>
      </c>
      <c r="G20" t="n">
        <v>1</v>
      </c>
    </row>
    <row r="21">
      <c r="A21" t="n">
        <v>9</v>
      </c>
      <c r="B21" t="n">
        <v>10</v>
      </c>
      <c r="C21" t="n">
        <v>0.03181</v>
      </c>
      <c r="D21" t="n">
        <v>0.08450000000000001</v>
      </c>
      <c r="E21" t="n">
        <v>0</v>
      </c>
      <c r="F21" t="n">
        <v>0</v>
      </c>
      <c r="G21" t="n">
        <v>1</v>
      </c>
    </row>
    <row r="22">
      <c r="A22" t="n">
        <v>9</v>
      </c>
      <c r="B22" t="n">
        <v>14</v>
      </c>
      <c r="C22" t="n">
        <v>0.12711</v>
      </c>
      <c r="D22" t="n">
        <v>0.27038</v>
      </c>
      <c r="E22" t="n">
        <v>0</v>
      </c>
      <c r="F22" t="n">
        <v>0</v>
      </c>
      <c r="G22" t="n">
        <v>1</v>
      </c>
    </row>
    <row r="23">
      <c r="A23" t="n">
        <v>10</v>
      </c>
      <c r="B23" t="n">
        <v>11</v>
      </c>
      <c r="C23" t="n">
        <v>0.08205</v>
      </c>
      <c r="D23" t="n">
        <v>0.19207</v>
      </c>
      <c r="E23" t="n">
        <v>0</v>
      </c>
      <c r="F23" t="n">
        <v>0</v>
      </c>
      <c r="G23" t="n">
        <v>1</v>
      </c>
    </row>
    <row r="24">
      <c r="A24" t="n">
        <v>12</v>
      </c>
      <c r="B24" t="n">
        <v>13</v>
      </c>
      <c r="C24" t="n">
        <v>0.22092</v>
      </c>
      <c r="D24" t="n">
        <v>0.19988</v>
      </c>
      <c r="E24" t="n">
        <v>0</v>
      </c>
      <c r="F24" t="n">
        <v>0</v>
      </c>
      <c r="G24" t="n">
        <v>1</v>
      </c>
    </row>
    <row r="25">
      <c r="A25" t="n">
        <v>13</v>
      </c>
      <c r="B25" t="n">
        <v>14</v>
      </c>
      <c r="C25" t="n">
        <v>0.17093</v>
      </c>
      <c r="D25" t="n">
        <v>0.34802</v>
      </c>
      <c r="E25" t="n">
        <v>0</v>
      </c>
      <c r="F25" t="n">
        <v>0</v>
      </c>
      <c r="G25" t="n">
        <v>1</v>
      </c>
    </row>
    <row r="26">
      <c r="A26" t="n">
        <v>9</v>
      </c>
      <c r="B26" t="n">
        <v>9</v>
      </c>
      <c r="C26" t="inlineStr">
        <is>
          <t>inf</t>
        </is>
      </c>
      <c r="D26" t="inlineStr">
        <is>
          <t>inf</t>
        </is>
      </c>
      <c r="E26" t="n">
        <v>0.19</v>
      </c>
      <c r="F26" t="n">
        <v>0</v>
      </c>
      <c r="G26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F23" sqref="F23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3" sqref="B3"/>
    </sheetView>
  </sheetViews>
  <sheetFormatPr baseColWidth="8" defaultRowHeight="13.9"/>
  <cols>
    <col width="22" customWidth="1" min="1" max="1"/>
    <col width="18.59765625" customWidth="1" min="2" max="2"/>
    <col width="15" customWidth="1" min="3" max="3"/>
    <col width="15.8632812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0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8" sqref="C8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2026-04-18T03:54:56Z</dcterms:modified>
  <cp:lastModifiedBy>admin_user</cp:lastModifiedBy>
</cp:coreProperties>
</file>